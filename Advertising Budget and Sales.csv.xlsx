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fner/Downloads/"/>
    </mc:Choice>
  </mc:AlternateContent>
  <xr:revisionPtr revIDLastSave="0" documentId="8_{0F1CE0DC-EE61-BA44-A42C-47C32B7997E4}" xr6:coauthVersionLast="47" xr6:coauthVersionMax="47" xr10:uidLastSave="{00000000-0000-0000-0000-000000000000}"/>
  <bookViews>
    <workbookView xWindow="-20" yWindow="800" windowWidth="29400" windowHeight="16800" xr2:uid="{4BF535F1-2D4A-834E-9763-0DF962C3CBAC}"/>
  </bookViews>
  <sheets>
    <sheet name="Advertising Budget and Sales.cs" sheetId="1" r:id="rId1"/>
  </sheets>
  <definedNames>
    <definedName name="_xlchart.v1.0" hidden="1">'Advertising Budget and Sales.cs'!$B$1</definedName>
    <definedName name="_xlchart.v1.1" hidden="1">'Advertising Budget and Sales.cs'!$B$2:$B$201</definedName>
    <definedName name="_xlchart.v1.2" hidden="1">'Advertising Budget and Sales.cs'!$C$1</definedName>
    <definedName name="_xlchart.v1.3" hidden="1">'Advertising Budget and Sales.cs'!$C$2:$C$201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G44" i="1"/>
  <c r="G43" i="1"/>
  <c r="G42" i="1"/>
  <c r="I37" i="1"/>
  <c r="J29" i="1"/>
  <c r="K36" i="1"/>
  <c r="K35" i="1"/>
  <c r="J27" i="1"/>
  <c r="J28" i="1"/>
  <c r="G29" i="1"/>
  <c r="G28" i="1"/>
  <c r="G27" i="1"/>
  <c r="J26" i="1"/>
  <c r="J25" i="1"/>
  <c r="G26" i="1"/>
  <c r="G25" i="1"/>
</calcChain>
</file>

<file path=xl/sharedStrings.xml><?xml version="1.0" encoding="utf-8"?>
<sst xmlns="http://schemas.openxmlformats.org/spreadsheetml/2006/main" count="29" uniqueCount="24">
  <si>
    <t>TV Ad Budget ($)</t>
  </si>
  <si>
    <t>Sales ($)</t>
  </si>
  <si>
    <t>Mean:</t>
  </si>
  <si>
    <t>Median:</t>
  </si>
  <si>
    <t>TV ad budget</t>
  </si>
  <si>
    <t>Sales:</t>
  </si>
  <si>
    <t>Mode:</t>
  </si>
  <si>
    <t>Range:</t>
  </si>
  <si>
    <t>Standard Dev:</t>
  </si>
  <si>
    <t>Confidence Interval of 99%</t>
  </si>
  <si>
    <t>X=</t>
  </si>
  <si>
    <t>Z=</t>
  </si>
  <si>
    <t>STDEV</t>
  </si>
  <si>
    <t>STDEV=</t>
  </si>
  <si>
    <t>N=</t>
  </si>
  <si>
    <t>High =</t>
  </si>
  <si>
    <t xml:space="preserve">Low = </t>
  </si>
  <si>
    <t>There is a 99% chance that the true population sales value will be within the high and low values</t>
  </si>
  <si>
    <t>T-test</t>
  </si>
  <si>
    <t>U=</t>
  </si>
  <si>
    <t xml:space="preserve">X= </t>
  </si>
  <si>
    <t>From 30-50</t>
  </si>
  <si>
    <t>t=</t>
  </si>
  <si>
    <t>Not likely significantly different, Likely due to differences in the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</si>
</sst>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TV</a:t>
            </a:r>
            <a:r>
              <a:rPr lang="en-US" baseline="0"/>
              <a:t> Ad Budget Compared with Sales Scatter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799749286550802"/>
                  <c:y val="-0.164747339491784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'Advertising Budget and Sales.cs'!$B$2:$B$201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'Advertising Budget and Sales.cs'!$C$2:$C$201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7-BD43-AC79-66E4972C2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95232"/>
        <c:axId val="1314856095"/>
      </c:scatterChart>
      <c:valAx>
        <c:axId val="7348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856095"/>
        <c:crosses val="autoZero"/>
        <c:crossBetween val="midCat"/>
      </c:valAx>
      <c:valAx>
        <c:axId val="131485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9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TV Ad Budget compared with Sales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TV Ad Budget compared with Sales Histogram</a:t>
          </a:r>
        </a:p>
      </cx:txPr>
    </cx:title>
    <cx:plotArea>
      <cx:plotAreaRegion>
        <cx:series layoutId="clusteredColumn" uniqueId="{04A06F57-6432-B949-B83C-2FCEF2105D2C}" formatIdx="0">
          <cx:tx>
            <cx:txData>
              <cx:f>_xlchart.v1.0</cx:f>
              <cx:v>TV Ad Budget ($)</cx:v>
            </cx:txData>
          </cx:tx>
          <cx:dataPt idx="0"/>
          <cx:dataPt idx="2"/>
          <cx:dataPt idx="3"/>
          <cx:dataPt idx="4"/>
          <cx:dataId val="0"/>
          <cx:layoutPr>
            <cx:binning intervalClosed="r"/>
          </cx:layoutPr>
        </cx:series>
        <cx:series layoutId="clusteredColumn" hidden="1" uniqueId="{89147935-1B28-8E46-B823-FFA65C7CF755}" formatIdx="1">
          <cx:tx>
            <cx:txData>
              <cx:f>_xlchart.v1.2</cx:f>
              <cx:v>Sales ($)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615950</xdr:colOff>
      <xdr:row>2</xdr:row>
      <xdr:rowOff>120650</xdr:rowOff>
    </xdr:from>
    <xdr:to>
      <xdr:col>11</xdr:col>
      <xdr:colOff>63500</xdr:colOff>
      <xdr:row>21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4CBDAF4-EB92-382D-3878-A8300ADB82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2450" y="527050"/>
              <a:ext cx="6051550" cy="389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105410</xdr:colOff>
      <xdr:row>0</xdr:row>
      <xdr:rowOff>140969</xdr:rowOff>
    </xdr:from>
    <xdr:to>
      <xdr:col>18</xdr:col>
      <xdr:colOff>458893</xdr:colOff>
      <xdr:row>20</xdr:row>
      <xdr:rowOff>164252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66A9B-1E0A-EA46-F84C-BB4FA76AD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DA79-09F2-2E4D-9D80-8734CD7FF560}">
  <dimension ref="A1:M201"/>
  <sheetViews>
    <sheetView tabSelected="1" topLeftCell="H1" zoomScale="94" workbookViewId="0">
      <selection activeCell="V8" sqref="V8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>
        <v>230.1</v>
      </c>
      <c r="C2">
        <v>22.1</v>
      </c>
    </row>
    <row r="3" spans="1:3" x14ac:dyDescent="0.2">
      <c r="A3">
        <v>2</v>
      </c>
      <c r="B3">
        <v>44.5</v>
      </c>
      <c r="C3">
        <v>10.4</v>
      </c>
    </row>
    <row r="4" spans="1:3" x14ac:dyDescent="0.2">
      <c r="A4">
        <v>3</v>
      </c>
      <c r="B4">
        <v>17.2</v>
      </c>
      <c r="C4">
        <v>9.3000000000000007</v>
      </c>
    </row>
    <row r="5" spans="1:3" x14ac:dyDescent="0.2">
      <c r="A5">
        <v>4</v>
      </c>
      <c r="B5">
        <v>151.5</v>
      </c>
      <c r="C5">
        <v>18.5</v>
      </c>
    </row>
    <row r="6" spans="1:3" x14ac:dyDescent="0.2">
      <c r="A6">
        <v>5</v>
      </c>
      <c r="B6">
        <v>180.8</v>
      </c>
      <c r="C6">
        <v>12.9</v>
      </c>
    </row>
    <row r="7" spans="1:3" x14ac:dyDescent="0.2">
      <c r="A7">
        <v>6</v>
      </c>
      <c r="B7">
        <v>8.6999999999999993</v>
      </c>
      <c r="C7">
        <v>7.2</v>
      </c>
    </row>
    <row r="8" spans="1:3" x14ac:dyDescent="0.2">
      <c r="A8">
        <v>7</v>
      </c>
      <c r="B8">
        <v>57.5</v>
      </c>
      <c r="C8">
        <v>11.8</v>
      </c>
    </row>
    <row r="9" spans="1:3" x14ac:dyDescent="0.2">
      <c r="A9">
        <v>8</v>
      </c>
      <c r="B9">
        <v>120.2</v>
      </c>
      <c r="C9">
        <v>13.2</v>
      </c>
    </row>
    <row r="10" spans="1:3" x14ac:dyDescent="0.2">
      <c r="A10">
        <v>9</v>
      </c>
      <c r="B10">
        <v>8.6</v>
      </c>
      <c r="C10">
        <v>4.8</v>
      </c>
    </row>
    <row r="11" spans="1:3" x14ac:dyDescent="0.2">
      <c r="A11">
        <v>10</v>
      </c>
      <c r="B11">
        <v>199.8</v>
      </c>
      <c r="C11">
        <v>10.6</v>
      </c>
    </row>
    <row r="12" spans="1:3" x14ac:dyDescent="0.2">
      <c r="A12">
        <v>11</v>
      </c>
      <c r="B12">
        <v>66.099999999999994</v>
      </c>
      <c r="C12">
        <v>8.6</v>
      </c>
    </row>
    <row r="13" spans="1:3" x14ac:dyDescent="0.2">
      <c r="A13">
        <v>12</v>
      </c>
      <c r="B13">
        <v>214.7</v>
      </c>
      <c r="C13">
        <v>17.399999999999999</v>
      </c>
    </row>
    <row r="14" spans="1:3" x14ac:dyDescent="0.2">
      <c r="A14">
        <v>13</v>
      </c>
      <c r="B14">
        <v>23.8</v>
      </c>
      <c r="C14">
        <v>9.1999999999999993</v>
      </c>
    </row>
    <row r="15" spans="1:3" x14ac:dyDescent="0.2">
      <c r="A15">
        <v>14</v>
      </c>
      <c r="B15">
        <v>97.5</v>
      </c>
      <c r="C15">
        <v>9.6999999999999993</v>
      </c>
    </row>
    <row r="16" spans="1:3" x14ac:dyDescent="0.2">
      <c r="A16">
        <v>15</v>
      </c>
      <c r="B16">
        <v>204.1</v>
      </c>
      <c r="C16">
        <v>19</v>
      </c>
    </row>
    <row r="17" spans="1:13" x14ac:dyDescent="0.2">
      <c r="A17">
        <v>16</v>
      </c>
      <c r="B17">
        <v>195.4</v>
      </c>
      <c r="C17">
        <v>22.4</v>
      </c>
    </row>
    <row r="18" spans="1:13" x14ac:dyDescent="0.2">
      <c r="A18">
        <v>17</v>
      </c>
      <c r="B18">
        <v>67.8</v>
      </c>
      <c r="C18">
        <v>12.5</v>
      </c>
    </row>
    <row r="19" spans="1:13" x14ac:dyDescent="0.2">
      <c r="A19">
        <v>18</v>
      </c>
      <c r="B19">
        <v>281.39999999999998</v>
      </c>
      <c r="C19">
        <v>24.4</v>
      </c>
    </row>
    <row r="20" spans="1:13" x14ac:dyDescent="0.2">
      <c r="A20">
        <v>19</v>
      </c>
      <c r="B20">
        <v>69.2</v>
      </c>
      <c r="C20">
        <v>11.3</v>
      </c>
    </row>
    <row r="21" spans="1:13" x14ac:dyDescent="0.2">
      <c r="A21">
        <v>20</v>
      </c>
      <c r="B21">
        <v>147.30000000000001</v>
      </c>
      <c r="C21">
        <v>14.6</v>
      </c>
    </row>
    <row r="22" spans="1:13" x14ac:dyDescent="0.2">
      <c r="A22">
        <v>21</v>
      </c>
      <c r="B22">
        <v>218.4</v>
      </c>
      <c r="C22">
        <v>18</v>
      </c>
    </row>
    <row r="23" spans="1:13" x14ac:dyDescent="0.2">
      <c r="A23">
        <v>22</v>
      </c>
      <c r="B23">
        <v>237.4</v>
      </c>
      <c r="C23">
        <v>12.5</v>
      </c>
    </row>
    <row r="24" spans="1:13" x14ac:dyDescent="0.2">
      <c r="A24">
        <v>23</v>
      </c>
      <c r="B24">
        <v>13.2</v>
      </c>
      <c r="C24">
        <v>5.6</v>
      </c>
      <c r="F24" t="s">
        <v>4</v>
      </c>
      <c r="I24" t="s">
        <v>5</v>
      </c>
    </row>
    <row r="25" spans="1:13" x14ac:dyDescent="0.2">
      <c r="A25">
        <v>24</v>
      </c>
      <c r="B25">
        <v>228.3</v>
      </c>
      <c r="C25">
        <v>15.5</v>
      </c>
      <c r="F25" t="s">
        <v>2</v>
      </c>
      <c r="G25">
        <f>AVERAGE(B2:B201)</f>
        <v>147.04249999999999</v>
      </c>
      <c r="I25" s="1" t="s">
        <v>2</v>
      </c>
      <c r="J25">
        <f>AVERAGE(C2:C201)</f>
        <v>14.022500000000003</v>
      </c>
    </row>
    <row r="26" spans="1:13" ht="23" x14ac:dyDescent="0.25">
      <c r="A26">
        <v>25</v>
      </c>
      <c r="B26">
        <v>62.3</v>
      </c>
      <c r="C26">
        <v>9.6999999999999993</v>
      </c>
      <c r="F26" t="s">
        <v>3</v>
      </c>
      <c r="G26">
        <f>MEDIAN(B2:B201)</f>
        <v>149.75</v>
      </c>
      <c r="I26" s="1" t="s">
        <v>3</v>
      </c>
      <c r="J26">
        <f>MEDIAN(C2:C201)</f>
        <v>12.9</v>
      </c>
      <c r="M26" s="2"/>
    </row>
    <row r="27" spans="1:13" ht="23" x14ac:dyDescent="0.25">
      <c r="A27">
        <v>26</v>
      </c>
      <c r="B27">
        <v>262.89999999999998</v>
      </c>
      <c r="C27">
        <v>12</v>
      </c>
      <c r="F27" t="s">
        <v>6</v>
      </c>
      <c r="G27">
        <f>_xlfn.MODE.SNGL(B2:B201)</f>
        <v>17.2</v>
      </c>
      <c r="I27" t="s">
        <v>6</v>
      </c>
      <c r="J27">
        <f>_xlfn.MODE.SNGL(C2:C201)</f>
        <v>9.6999999999999993</v>
      </c>
      <c r="M27" s="3"/>
    </row>
    <row r="28" spans="1:13" ht="23" x14ac:dyDescent="0.25">
      <c r="A28">
        <v>27</v>
      </c>
      <c r="B28">
        <v>142.9</v>
      </c>
      <c r="C28">
        <v>15</v>
      </c>
      <c r="F28" t="s">
        <v>7</v>
      </c>
      <c r="G28">
        <f>MAX(B2:B201)-MIN(B2:B201)</f>
        <v>295.7</v>
      </c>
      <c r="I28" t="s">
        <v>7</v>
      </c>
      <c r="J28">
        <f>MAX(C2:C201)-MIN(C2:C201)</f>
        <v>25.4</v>
      </c>
      <c r="M28" s="2"/>
    </row>
    <row r="29" spans="1:13" ht="23" x14ac:dyDescent="0.25">
      <c r="A29">
        <v>28</v>
      </c>
      <c r="B29">
        <v>240.1</v>
      </c>
      <c r="C29">
        <v>15.9</v>
      </c>
      <c r="F29" t="s">
        <v>8</v>
      </c>
      <c r="G29">
        <f>_xlfn.STDEV.P(B2:B201)</f>
        <v>85.639331756792714</v>
      </c>
      <c r="I29" t="s">
        <v>8</v>
      </c>
      <c r="J29">
        <f>_xlfn.STDEV.P(C2:C201)</f>
        <v>5.204396578855226</v>
      </c>
      <c r="M29" s="3"/>
    </row>
    <row r="30" spans="1:13" ht="23" x14ac:dyDescent="0.25">
      <c r="A30">
        <v>29</v>
      </c>
      <c r="B30">
        <v>248.8</v>
      </c>
      <c r="C30">
        <v>18.899999999999999</v>
      </c>
      <c r="M30" s="3"/>
    </row>
    <row r="31" spans="1:13" ht="23" x14ac:dyDescent="0.25">
      <c r="A31">
        <v>30</v>
      </c>
      <c r="B31">
        <v>70.599999999999994</v>
      </c>
      <c r="C31">
        <v>10.5</v>
      </c>
      <c r="M31" s="3"/>
    </row>
    <row r="32" spans="1:13" x14ac:dyDescent="0.2">
      <c r="A32">
        <v>31</v>
      </c>
      <c r="B32">
        <v>292.89999999999998</v>
      </c>
      <c r="C32">
        <v>21.4</v>
      </c>
      <c r="M32" s="4"/>
    </row>
    <row r="33" spans="1:13" x14ac:dyDescent="0.2">
      <c r="A33">
        <v>32</v>
      </c>
      <c r="B33">
        <v>112.9</v>
      </c>
      <c r="C33">
        <v>11.9</v>
      </c>
      <c r="M33" s="4"/>
    </row>
    <row r="34" spans="1:13" x14ac:dyDescent="0.2">
      <c r="A34">
        <v>33</v>
      </c>
      <c r="B34">
        <v>97.2</v>
      </c>
      <c r="C34">
        <v>9.6</v>
      </c>
      <c r="I34" t="s">
        <v>9</v>
      </c>
    </row>
    <row r="35" spans="1:13" x14ac:dyDescent="0.2">
      <c r="A35">
        <v>34</v>
      </c>
      <c r="B35">
        <v>265.60000000000002</v>
      </c>
      <c r="C35">
        <v>17.399999999999999</v>
      </c>
      <c r="H35" t="s">
        <v>10</v>
      </c>
      <c r="I35">
        <v>14.022500000000001</v>
      </c>
      <c r="J35" t="s">
        <v>15</v>
      </c>
      <c r="K35">
        <f>I35+I36*(I37/SQRT(I38))</f>
        <v>15.055493996488954</v>
      </c>
    </row>
    <row r="36" spans="1:13" x14ac:dyDescent="0.2">
      <c r="A36">
        <v>35</v>
      </c>
      <c r="B36">
        <v>95.7</v>
      </c>
      <c r="C36">
        <v>9.5</v>
      </c>
      <c r="H36" t="s">
        <v>11</v>
      </c>
      <c r="I36">
        <v>2.8069999999999999</v>
      </c>
      <c r="J36" t="s">
        <v>16</v>
      </c>
      <c r="K36">
        <f>I35-I36*(I37/SQRT(I38))</f>
        <v>12.989506003511048</v>
      </c>
    </row>
    <row r="37" spans="1:13" x14ac:dyDescent="0.2">
      <c r="A37">
        <v>36</v>
      </c>
      <c r="B37">
        <v>290.7</v>
      </c>
      <c r="C37">
        <v>12.8</v>
      </c>
      <c r="H37" t="s">
        <v>13</v>
      </c>
      <c r="I37">
        <f>J29</f>
        <v>5.204396578855226</v>
      </c>
      <c r="J37" t="s">
        <v>17</v>
      </c>
    </row>
    <row r="38" spans="1:13" x14ac:dyDescent="0.2">
      <c r="A38">
        <v>37</v>
      </c>
      <c r="B38">
        <v>266.89999999999998</v>
      </c>
      <c r="C38">
        <v>25.4</v>
      </c>
      <c r="H38" t="s">
        <v>14</v>
      </c>
      <c r="I38">
        <v>200</v>
      </c>
    </row>
    <row r="39" spans="1:13" x14ac:dyDescent="0.2">
      <c r="A39">
        <v>38</v>
      </c>
      <c r="B39">
        <v>74.7</v>
      </c>
      <c r="C39">
        <v>14.7</v>
      </c>
    </row>
    <row r="40" spans="1:13" x14ac:dyDescent="0.2">
      <c r="A40">
        <v>39</v>
      </c>
      <c r="B40">
        <v>43.1</v>
      </c>
      <c r="C40">
        <v>10.1</v>
      </c>
    </row>
    <row r="41" spans="1:13" x14ac:dyDescent="0.2">
      <c r="A41">
        <v>40</v>
      </c>
      <c r="B41">
        <v>228</v>
      </c>
      <c r="C41">
        <v>21.5</v>
      </c>
      <c r="G41" t="s">
        <v>18</v>
      </c>
      <c r="H41" t="s">
        <v>22</v>
      </c>
      <c r="I41">
        <f>(G43-G42)/(G44/SQRT(20))</f>
        <v>1.2147059294925271</v>
      </c>
      <c r="J41" t="s">
        <v>23</v>
      </c>
    </row>
    <row r="42" spans="1:13" x14ac:dyDescent="0.2">
      <c r="A42">
        <v>41</v>
      </c>
      <c r="B42">
        <v>202.5</v>
      </c>
      <c r="C42">
        <v>16.600000000000001</v>
      </c>
      <c r="F42" t="s">
        <v>19</v>
      </c>
      <c r="G42">
        <f>J25</f>
        <v>14.022500000000003</v>
      </c>
    </row>
    <row r="43" spans="1:13" x14ac:dyDescent="0.2">
      <c r="A43">
        <v>42</v>
      </c>
      <c r="B43">
        <v>177</v>
      </c>
      <c r="C43">
        <v>17.100000000000001</v>
      </c>
      <c r="E43" t="s">
        <v>21</v>
      </c>
      <c r="F43" t="s">
        <v>20</v>
      </c>
      <c r="G43">
        <f>AVERAGE(C30:C50)</f>
        <v>15.380952380952378</v>
      </c>
    </row>
    <row r="44" spans="1:13" x14ac:dyDescent="0.2">
      <c r="A44">
        <v>43</v>
      </c>
      <c r="B44">
        <v>293.60000000000002</v>
      </c>
      <c r="C44">
        <v>20.7</v>
      </c>
      <c r="F44" t="s">
        <v>12</v>
      </c>
      <c r="G44">
        <f>_xlfn.STDEV.S(C30:C50)</f>
        <v>5.0013617193339615</v>
      </c>
    </row>
    <row r="45" spans="1:13" x14ac:dyDescent="0.2">
      <c r="A45">
        <v>44</v>
      </c>
      <c r="B45">
        <v>206.9</v>
      </c>
      <c r="C45">
        <v>12.9</v>
      </c>
    </row>
    <row r="46" spans="1:13" x14ac:dyDescent="0.2">
      <c r="A46">
        <v>45</v>
      </c>
      <c r="B46">
        <v>25.1</v>
      </c>
      <c r="C46">
        <v>8.5</v>
      </c>
    </row>
    <row r="47" spans="1:13" x14ac:dyDescent="0.2">
      <c r="A47">
        <v>46</v>
      </c>
      <c r="B47">
        <v>175.1</v>
      </c>
      <c r="C47">
        <v>14.9</v>
      </c>
    </row>
    <row r="48" spans="1:13" x14ac:dyDescent="0.2">
      <c r="A48">
        <v>47</v>
      </c>
      <c r="B48">
        <v>89.7</v>
      </c>
      <c r="C48">
        <v>10.6</v>
      </c>
    </row>
    <row r="49" spans="1:3" x14ac:dyDescent="0.2">
      <c r="A49">
        <v>48</v>
      </c>
      <c r="B49">
        <v>239.9</v>
      </c>
      <c r="C49">
        <v>23.2</v>
      </c>
    </row>
    <row r="50" spans="1:3" x14ac:dyDescent="0.2">
      <c r="A50">
        <v>49</v>
      </c>
      <c r="B50">
        <v>227.2</v>
      </c>
      <c r="C50">
        <v>14.8</v>
      </c>
    </row>
    <row r="51" spans="1:3" x14ac:dyDescent="0.2">
      <c r="A51">
        <v>50</v>
      </c>
      <c r="B51">
        <v>66.900000000000006</v>
      </c>
      <c r="C51">
        <v>9.6999999999999993</v>
      </c>
    </row>
    <row r="52" spans="1:3" x14ac:dyDescent="0.2">
      <c r="A52">
        <v>51</v>
      </c>
      <c r="B52">
        <v>199.8</v>
      </c>
      <c r="C52">
        <v>11.4</v>
      </c>
    </row>
    <row r="53" spans="1:3" x14ac:dyDescent="0.2">
      <c r="A53">
        <v>52</v>
      </c>
      <c r="B53">
        <v>100.4</v>
      </c>
      <c r="C53">
        <v>10.7</v>
      </c>
    </row>
    <row r="54" spans="1:3" x14ac:dyDescent="0.2">
      <c r="A54">
        <v>53</v>
      </c>
      <c r="B54">
        <v>216.4</v>
      </c>
      <c r="C54">
        <v>22.6</v>
      </c>
    </row>
    <row r="55" spans="1:3" x14ac:dyDescent="0.2">
      <c r="A55">
        <v>54</v>
      </c>
      <c r="B55">
        <v>182.6</v>
      </c>
      <c r="C55">
        <v>21.2</v>
      </c>
    </row>
    <row r="56" spans="1:3" x14ac:dyDescent="0.2">
      <c r="A56">
        <v>55</v>
      </c>
      <c r="B56">
        <v>262.7</v>
      </c>
      <c r="C56">
        <v>20.2</v>
      </c>
    </row>
    <row r="57" spans="1:3" x14ac:dyDescent="0.2">
      <c r="A57">
        <v>56</v>
      </c>
      <c r="B57">
        <v>198.9</v>
      </c>
      <c r="C57">
        <v>23.7</v>
      </c>
    </row>
    <row r="58" spans="1:3" x14ac:dyDescent="0.2">
      <c r="A58">
        <v>57</v>
      </c>
      <c r="B58">
        <v>7.3</v>
      </c>
      <c r="C58">
        <v>5.5</v>
      </c>
    </row>
    <row r="59" spans="1:3" x14ac:dyDescent="0.2">
      <c r="A59">
        <v>58</v>
      </c>
      <c r="B59">
        <v>136.19999999999999</v>
      </c>
      <c r="C59">
        <v>13.2</v>
      </c>
    </row>
    <row r="60" spans="1:3" x14ac:dyDescent="0.2">
      <c r="A60">
        <v>59</v>
      </c>
      <c r="B60">
        <v>210.8</v>
      </c>
      <c r="C60">
        <v>23.8</v>
      </c>
    </row>
    <row r="61" spans="1:3" x14ac:dyDescent="0.2">
      <c r="A61">
        <v>60</v>
      </c>
      <c r="B61">
        <v>210.7</v>
      </c>
      <c r="C61">
        <v>18.399999999999999</v>
      </c>
    </row>
    <row r="62" spans="1:3" x14ac:dyDescent="0.2">
      <c r="A62">
        <v>61</v>
      </c>
      <c r="B62">
        <v>53.5</v>
      </c>
      <c r="C62">
        <v>8.1</v>
      </c>
    </row>
    <row r="63" spans="1:3" x14ac:dyDescent="0.2">
      <c r="A63">
        <v>62</v>
      </c>
      <c r="B63">
        <v>261.3</v>
      </c>
      <c r="C63">
        <v>24.2</v>
      </c>
    </row>
    <row r="64" spans="1:3" x14ac:dyDescent="0.2">
      <c r="A64">
        <v>63</v>
      </c>
      <c r="B64">
        <v>239.3</v>
      </c>
      <c r="C64">
        <v>15.7</v>
      </c>
    </row>
    <row r="65" spans="1:3" x14ac:dyDescent="0.2">
      <c r="A65">
        <v>64</v>
      </c>
      <c r="B65">
        <v>102.7</v>
      </c>
      <c r="C65">
        <v>14</v>
      </c>
    </row>
    <row r="66" spans="1:3" x14ac:dyDescent="0.2">
      <c r="A66">
        <v>65</v>
      </c>
      <c r="B66">
        <v>131.1</v>
      </c>
      <c r="C66">
        <v>18</v>
      </c>
    </row>
    <row r="67" spans="1:3" x14ac:dyDescent="0.2">
      <c r="A67">
        <v>66</v>
      </c>
      <c r="B67">
        <v>69</v>
      </c>
      <c r="C67">
        <v>9.3000000000000007</v>
      </c>
    </row>
    <row r="68" spans="1:3" x14ac:dyDescent="0.2">
      <c r="A68">
        <v>67</v>
      </c>
      <c r="B68">
        <v>31.5</v>
      </c>
      <c r="C68">
        <v>9.5</v>
      </c>
    </row>
    <row r="69" spans="1:3" x14ac:dyDescent="0.2">
      <c r="A69">
        <v>68</v>
      </c>
      <c r="B69">
        <v>139.30000000000001</v>
      </c>
      <c r="C69">
        <v>13.4</v>
      </c>
    </row>
    <row r="70" spans="1:3" x14ac:dyDescent="0.2">
      <c r="A70">
        <v>69</v>
      </c>
      <c r="B70">
        <v>237.4</v>
      </c>
      <c r="C70">
        <v>18.899999999999999</v>
      </c>
    </row>
    <row r="71" spans="1:3" x14ac:dyDescent="0.2">
      <c r="A71">
        <v>70</v>
      </c>
      <c r="B71">
        <v>216.8</v>
      </c>
      <c r="C71">
        <v>22.3</v>
      </c>
    </row>
    <row r="72" spans="1:3" x14ac:dyDescent="0.2">
      <c r="A72">
        <v>71</v>
      </c>
      <c r="B72">
        <v>199.1</v>
      </c>
      <c r="C72">
        <v>18.3</v>
      </c>
    </row>
    <row r="73" spans="1:3" x14ac:dyDescent="0.2">
      <c r="A73">
        <v>72</v>
      </c>
      <c r="B73">
        <v>109.8</v>
      </c>
      <c r="C73">
        <v>12.4</v>
      </c>
    </row>
    <row r="74" spans="1:3" x14ac:dyDescent="0.2">
      <c r="A74">
        <v>73</v>
      </c>
      <c r="B74">
        <v>26.8</v>
      </c>
      <c r="C74">
        <v>8.8000000000000007</v>
      </c>
    </row>
    <row r="75" spans="1:3" x14ac:dyDescent="0.2">
      <c r="A75">
        <v>74</v>
      </c>
      <c r="B75">
        <v>129.4</v>
      </c>
      <c r="C75">
        <v>11</v>
      </c>
    </row>
    <row r="76" spans="1:3" x14ac:dyDescent="0.2">
      <c r="A76">
        <v>75</v>
      </c>
      <c r="B76">
        <v>213.4</v>
      </c>
      <c r="C76">
        <v>17</v>
      </c>
    </row>
    <row r="77" spans="1:3" x14ac:dyDescent="0.2">
      <c r="A77">
        <v>76</v>
      </c>
      <c r="B77">
        <v>16.899999999999999</v>
      </c>
      <c r="C77">
        <v>8.6999999999999993</v>
      </c>
    </row>
    <row r="78" spans="1:3" x14ac:dyDescent="0.2">
      <c r="A78">
        <v>77</v>
      </c>
      <c r="B78">
        <v>27.5</v>
      </c>
      <c r="C78">
        <v>6.9</v>
      </c>
    </row>
    <row r="79" spans="1:3" x14ac:dyDescent="0.2">
      <c r="A79">
        <v>78</v>
      </c>
      <c r="B79">
        <v>120.5</v>
      </c>
      <c r="C79">
        <v>14.2</v>
      </c>
    </row>
    <row r="80" spans="1:3" x14ac:dyDescent="0.2">
      <c r="A80">
        <v>79</v>
      </c>
      <c r="B80">
        <v>5.4</v>
      </c>
      <c r="C80">
        <v>5.3</v>
      </c>
    </row>
    <row r="81" spans="1:3" x14ac:dyDescent="0.2">
      <c r="A81">
        <v>80</v>
      </c>
      <c r="B81">
        <v>116</v>
      </c>
      <c r="C81">
        <v>11</v>
      </c>
    </row>
    <row r="82" spans="1:3" x14ac:dyDescent="0.2">
      <c r="A82">
        <v>81</v>
      </c>
      <c r="B82">
        <v>76.400000000000006</v>
      </c>
      <c r="C82">
        <v>11.8</v>
      </c>
    </row>
    <row r="83" spans="1:3" x14ac:dyDescent="0.2">
      <c r="A83">
        <v>82</v>
      </c>
      <c r="B83">
        <v>239.8</v>
      </c>
      <c r="C83">
        <v>12.3</v>
      </c>
    </row>
    <row r="84" spans="1:3" x14ac:dyDescent="0.2">
      <c r="A84">
        <v>83</v>
      </c>
      <c r="B84">
        <v>75.3</v>
      </c>
      <c r="C84">
        <v>11.3</v>
      </c>
    </row>
    <row r="85" spans="1:3" x14ac:dyDescent="0.2">
      <c r="A85">
        <v>84</v>
      </c>
      <c r="B85">
        <v>68.400000000000006</v>
      </c>
      <c r="C85">
        <v>13.6</v>
      </c>
    </row>
    <row r="86" spans="1:3" x14ac:dyDescent="0.2">
      <c r="A86">
        <v>85</v>
      </c>
      <c r="B86">
        <v>213.5</v>
      </c>
      <c r="C86">
        <v>21.7</v>
      </c>
    </row>
    <row r="87" spans="1:3" x14ac:dyDescent="0.2">
      <c r="A87">
        <v>86</v>
      </c>
      <c r="B87">
        <v>193.2</v>
      </c>
      <c r="C87">
        <v>15.2</v>
      </c>
    </row>
    <row r="88" spans="1:3" x14ac:dyDescent="0.2">
      <c r="A88">
        <v>87</v>
      </c>
      <c r="B88">
        <v>76.3</v>
      </c>
      <c r="C88">
        <v>12</v>
      </c>
    </row>
    <row r="89" spans="1:3" x14ac:dyDescent="0.2">
      <c r="A89">
        <v>88</v>
      </c>
      <c r="B89">
        <v>110.7</v>
      </c>
      <c r="C89">
        <v>16</v>
      </c>
    </row>
    <row r="90" spans="1:3" x14ac:dyDescent="0.2">
      <c r="A90">
        <v>89</v>
      </c>
      <c r="B90">
        <v>88.3</v>
      </c>
      <c r="C90">
        <v>12.9</v>
      </c>
    </row>
    <row r="91" spans="1:3" x14ac:dyDescent="0.2">
      <c r="A91">
        <v>90</v>
      </c>
      <c r="B91">
        <v>109.8</v>
      </c>
      <c r="C91">
        <v>16.7</v>
      </c>
    </row>
    <row r="92" spans="1:3" x14ac:dyDescent="0.2">
      <c r="A92">
        <v>91</v>
      </c>
      <c r="B92">
        <v>134.30000000000001</v>
      </c>
      <c r="C92">
        <v>11.2</v>
      </c>
    </row>
    <row r="93" spans="1:3" x14ac:dyDescent="0.2">
      <c r="A93">
        <v>92</v>
      </c>
      <c r="B93">
        <v>28.6</v>
      </c>
      <c r="C93">
        <v>7.3</v>
      </c>
    </row>
    <row r="94" spans="1:3" x14ac:dyDescent="0.2">
      <c r="A94">
        <v>93</v>
      </c>
      <c r="B94">
        <v>217.7</v>
      </c>
      <c r="C94">
        <v>19.399999999999999</v>
      </c>
    </row>
    <row r="95" spans="1:3" x14ac:dyDescent="0.2">
      <c r="A95">
        <v>94</v>
      </c>
      <c r="B95">
        <v>250.9</v>
      </c>
      <c r="C95">
        <v>22.2</v>
      </c>
    </row>
    <row r="96" spans="1:3" x14ac:dyDescent="0.2">
      <c r="A96">
        <v>95</v>
      </c>
      <c r="B96">
        <v>107.4</v>
      </c>
      <c r="C96">
        <v>11.5</v>
      </c>
    </row>
    <row r="97" spans="1:3" x14ac:dyDescent="0.2">
      <c r="A97">
        <v>96</v>
      </c>
      <c r="B97">
        <v>163.30000000000001</v>
      </c>
      <c r="C97">
        <v>16.899999999999999</v>
      </c>
    </row>
    <row r="98" spans="1:3" x14ac:dyDescent="0.2">
      <c r="A98">
        <v>97</v>
      </c>
      <c r="B98">
        <v>197.6</v>
      </c>
      <c r="C98">
        <v>11.7</v>
      </c>
    </row>
    <row r="99" spans="1:3" x14ac:dyDescent="0.2">
      <c r="A99">
        <v>98</v>
      </c>
      <c r="B99">
        <v>184.9</v>
      </c>
      <c r="C99">
        <v>15.5</v>
      </c>
    </row>
    <row r="100" spans="1:3" x14ac:dyDescent="0.2">
      <c r="A100">
        <v>99</v>
      </c>
      <c r="B100">
        <v>289.7</v>
      </c>
      <c r="C100">
        <v>25.4</v>
      </c>
    </row>
    <row r="101" spans="1:3" x14ac:dyDescent="0.2">
      <c r="A101">
        <v>100</v>
      </c>
      <c r="B101">
        <v>135.19999999999999</v>
      </c>
      <c r="C101">
        <v>17.2</v>
      </c>
    </row>
    <row r="102" spans="1:3" x14ac:dyDescent="0.2">
      <c r="A102">
        <v>101</v>
      </c>
      <c r="B102">
        <v>222.4</v>
      </c>
      <c r="C102">
        <v>11.7</v>
      </c>
    </row>
    <row r="103" spans="1:3" x14ac:dyDescent="0.2">
      <c r="A103">
        <v>102</v>
      </c>
      <c r="B103">
        <v>296.39999999999998</v>
      </c>
      <c r="C103">
        <v>23.8</v>
      </c>
    </row>
    <row r="104" spans="1:3" x14ac:dyDescent="0.2">
      <c r="A104">
        <v>103</v>
      </c>
      <c r="B104">
        <v>280.2</v>
      </c>
      <c r="C104">
        <v>14.8</v>
      </c>
    </row>
    <row r="105" spans="1:3" x14ac:dyDescent="0.2">
      <c r="A105">
        <v>104</v>
      </c>
      <c r="B105">
        <v>187.9</v>
      </c>
      <c r="C105">
        <v>14.7</v>
      </c>
    </row>
    <row r="106" spans="1:3" x14ac:dyDescent="0.2">
      <c r="A106">
        <v>105</v>
      </c>
      <c r="B106">
        <v>238.2</v>
      </c>
      <c r="C106">
        <v>20.7</v>
      </c>
    </row>
    <row r="107" spans="1:3" x14ac:dyDescent="0.2">
      <c r="A107">
        <v>106</v>
      </c>
      <c r="B107">
        <v>137.9</v>
      </c>
      <c r="C107">
        <v>19.2</v>
      </c>
    </row>
    <row r="108" spans="1:3" x14ac:dyDescent="0.2">
      <c r="A108">
        <v>107</v>
      </c>
      <c r="B108">
        <v>25</v>
      </c>
      <c r="C108">
        <v>7.2</v>
      </c>
    </row>
    <row r="109" spans="1:3" x14ac:dyDescent="0.2">
      <c r="A109">
        <v>108</v>
      </c>
      <c r="B109">
        <v>90.4</v>
      </c>
      <c r="C109">
        <v>8.6999999999999993</v>
      </c>
    </row>
    <row r="110" spans="1:3" x14ac:dyDescent="0.2">
      <c r="A110">
        <v>109</v>
      </c>
      <c r="B110">
        <v>13.1</v>
      </c>
      <c r="C110">
        <v>5.3</v>
      </c>
    </row>
    <row r="111" spans="1:3" x14ac:dyDescent="0.2">
      <c r="A111">
        <v>110</v>
      </c>
      <c r="B111">
        <v>255.4</v>
      </c>
      <c r="C111">
        <v>19.8</v>
      </c>
    </row>
    <row r="112" spans="1:3" x14ac:dyDescent="0.2">
      <c r="A112">
        <v>111</v>
      </c>
      <c r="B112">
        <v>225.8</v>
      </c>
      <c r="C112">
        <v>13.4</v>
      </c>
    </row>
    <row r="113" spans="1:3" x14ac:dyDescent="0.2">
      <c r="A113">
        <v>112</v>
      </c>
      <c r="B113">
        <v>241.7</v>
      </c>
      <c r="C113">
        <v>21.8</v>
      </c>
    </row>
    <row r="114" spans="1:3" x14ac:dyDescent="0.2">
      <c r="A114">
        <v>113</v>
      </c>
      <c r="B114">
        <v>175.7</v>
      </c>
      <c r="C114">
        <v>14.1</v>
      </c>
    </row>
    <row r="115" spans="1:3" x14ac:dyDescent="0.2">
      <c r="A115">
        <v>114</v>
      </c>
      <c r="B115">
        <v>209.6</v>
      </c>
      <c r="C115">
        <v>15.9</v>
      </c>
    </row>
    <row r="116" spans="1:3" x14ac:dyDescent="0.2">
      <c r="A116">
        <v>115</v>
      </c>
      <c r="B116">
        <v>78.2</v>
      </c>
      <c r="C116">
        <v>14.6</v>
      </c>
    </row>
    <row r="117" spans="1:3" x14ac:dyDescent="0.2">
      <c r="A117">
        <v>116</v>
      </c>
      <c r="B117">
        <v>75.099999999999994</v>
      </c>
      <c r="C117">
        <v>12.6</v>
      </c>
    </row>
    <row r="118" spans="1:3" x14ac:dyDescent="0.2">
      <c r="A118">
        <v>117</v>
      </c>
      <c r="B118">
        <v>139.19999999999999</v>
      </c>
      <c r="C118">
        <v>12.2</v>
      </c>
    </row>
    <row r="119" spans="1:3" x14ac:dyDescent="0.2">
      <c r="A119">
        <v>118</v>
      </c>
      <c r="B119">
        <v>76.400000000000006</v>
      </c>
      <c r="C119">
        <v>9.4</v>
      </c>
    </row>
    <row r="120" spans="1:3" x14ac:dyDescent="0.2">
      <c r="A120">
        <v>119</v>
      </c>
      <c r="B120">
        <v>125.7</v>
      </c>
      <c r="C120">
        <v>15.9</v>
      </c>
    </row>
    <row r="121" spans="1:3" x14ac:dyDescent="0.2">
      <c r="A121">
        <v>120</v>
      </c>
      <c r="B121">
        <v>19.399999999999999</v>
      </c>
      <c r="C121">
        <v>6.6</v>
      </c>
    </row>
    <row r="122" spans="1:3" x14ac:dyDescent="0.2">
      <c r="A122">
        <v>121</v>
      </c>
      <c r="B122">
        <v>141.30000000000001</v>
      </c>
      <c r="C122">
        <v>15.5</v>
      </c>
    </row>
    <row r="123" spans="1:3" x14ac:dyDescent="0.2">
      <c r="A123">
        <v>122</v>
      </c>
      <c r="B123">
        <v>18.8</v>
      </c>
      <c r="C123">
        <v>7</v>
      </c>
    </row>
    <row r="124" spans="1:3" x14ac:dyDescent="0.2">
      <c r="A124">
        <v>123</v>
      </c>
      <c r="B124">
        <v>224</v>
      </c>
      <c r="C124">
        <v>11.6</v>
      </c>
    </row>
    <row r="125" spans="1:3" x14ac:dyDescent="0.2">
      <c r="A125">
        <v>124</v>
      </c>
      <c r="B125">
        <v>123.1</v>
      </c>
      <c r="C125">
        <v>15.2</v>
      </c>
    </row>
    <row r="126" spans="1:3" x14ac:dyDescent="0.2">
      <c r="A126">
        <v>125</v>
      </c>
      <c r="B126">
        <v>229.5</v>
      </c>
      <c r="C126">
        <v>19.7</v>
      </c>
    </row>
    <row r="127" spans="1:3" x14ac:dyDescent="0.2">
      <c r="A127">
        <v>126</v>
      </c>
      <c r="B127">
        <v>87.2</v>
      </c>
      <c r="C127">
        <v>10.6</v>
      </c>
    </row>
    <row r="128" spans="1:3" x14ac:dyDescent="0.2">
      <c r="A128">
        <v>127</v>
      </c>
      <c r="B128">
        <v>7.8</v>
      </c>
      <c r="C128">
        <v>6.6</v>
      </c>
    </row>
    <row r="129" spans="1:3" x14ac:dyDescent="0.2">
      <c r="A129">
        <v>128</v>
      </c>
      <c r="B129">
        <v>80.2</v>
      </c>
      <c r="C129">
        <v>8.8000000000000007</v>
      </c>
    </row>
    <row r="130" spans="1:3" x14ac:dyDescent="0.2">
      <c r="A130">
        <v>129</v>
      </c>
      <c r="B130">
        <v>220.3</v>
      </c>
      <c r="C130">
        <v>24.7</v>
      </c>
    </row>
    <row r="131" spans="1:3" x14ac:dyDescent="0.2">
      <c r="A131">
        <v>130</v>
      </c>
      <c r="B131">
        <v>59.6</v>
      </c>
      <c r="C131">
        <v>9.6999999999999993</v>
      </c>
    </row>
    <row r="132" spans="1:3" x14ac:dyDescent="0.2">
      <c r="A132">
        <v>131</v>
      </c>
      <c r="B132">
        <v>0.7</v>
      </c>
      <c r="C132">
        <v>1.6</v>
      </c>
    </row>
    <row r="133" spans="1:3" x14ac:dyDescent="0.2">
      <c r="A133">
        <v>132</v>
      </c>
      <c r="B133">
        <v>265.2</v>
      </c>
      <c r="C133">
        <v>12.7</v>
      </c>
    </row>
    <row r="134" spans="1:3" x14ac:dyDescent="0.2">
      <c r="A134">
        <v>133</v>
      </c>
      <c r="B134">
        <v>8.4</v>
      </c>
      <c r="C134">
        <v>5.7</v>
      </c>
    </row>
    <row r="135" spans="1:3" x14ac:dyDescent="0.2">
      <c r="A135">
        <v>134</v>
      </c>
      <c r="B135">
        <v>219.8</v>
      </c>
      <c r="C135">
        <v>19.600000000000001</v>
      </c>
    </row>
    <row r="136" spans="1:3" x14ac:dyDescent="0.2">
      <c r="A136">
        <v>135</v>
      </c>
      <c r="B136">
        <v>36.9</v>
      </c>
      <c r="C136">
        <v>10.8</v>
      </c>
    </row>
    <row r="137" spans="1:3" x14ac:dyDescent="0.2">
      <c r="A137">
        <v>136</v>
      </c>
      <c r="B137">
        <v>48.3</v>
      </c>
      <c r="C137">
        <v>11.6</v>
      </c>
    </row>
    <row r="138" spans="1:3" x14ac:dyDescent="0.2">
      <c r="A138">
        <v>137</v>
      </c>
      <c r="B138">
        <v>25.6</v>
      </c>
      <c r="C138">
        <v>9.5</v>
      </c>
    </row>
    <row r="139" spans="1:3" x14ac:dyDescent="0.2">
      <c r="A139">
        <v>138</v>
      </c>
      <c r="B139">
        <v>273.7</v>
      </c>
      <c r="C139">
        <v>20.8</v>
      </c>
    </row>
    <row r="140" spans="1:3" x14ac:dyDescent="0.2">
      <c r="A140">
        <v>139</v>
      </c>
      <c r="B140">
        <v>43</v>
      </c>
      <c r="C140">
        <v>9.6</v>
      </c>
    </row>
    <row r="141" spans="1:3" x14ac:dyDescent="0.2">
      <c r="A141">
        <v>140</v>
      </c>
      <c r="B141">
        <v>184.9</v>
      </c>
      <c r="C141">
        <v>20.7</v>
      </c>
    </row>
    <row r="142" spans="1:3" x14ac:dyDescent="0.2">
      <c r="A142">
        <v>141</v>
      </c>
      <c r="B142">
        <v>73.400000000000006</v>
      </c>
      <c r="C142">
        <v>10.9</v>
      </c>
    </row>
    <row r="143" spans="1:3" x14ac:dyDescent="0.2">
      <c r="A143">
        <v>142</v>
      </c>
      <c r="B143">
        <v>193.7</v>
      </c>
      <c r="C143">
        <v>19.2</v>
      </c>
    </row>
    <row r="144" spans="1:3" x14ac:dyDescent="0.2">
      <c r="A144">
        <v>143</v>
      </c>
      <c r="B144">
        <v>220.5</v>
      </c>
      <c r="C144">
        <v>20.100000000000001</v>
      </c>
    </row>
    <row r="145" spans="1:3" x14ac:dyDescent="0.2">
      <c r="A145">
        <v>144</v>
      </c>
      <c r="B145">
        <v>104.6</v>
      </c>
      <c r="C145">
        <v>10.4</v>
      </c>
    </row>
    <row r="146" spans="1:3" x14ac:dyDescent="0.2">
      <c r="A146">
        <v>145</v>
      </c>
      <c r="B146">
        <v>96.2</v>
      </c>
      <c r="C146">
        <v>11.4</v>
      </c>
    </row>
    <row r="147" spans="1:3" x14ac:dyDescent="0.2">
      <c r="A147">
        <v>146</v>
      </c>
      <c r="B147">
        <v>140.30000000000001</v>
      </c>
      <c r="C147">
        <v>10.3</v>
      </c>
    </row>
    <row r="148" spans="1:3" x14ac:dyDescent="0.2">
      <c r="A148">
        <v>147</v>
      </c>
      <c r="B148">
        <v>240.1</v>
      </c>
      <c r="C148">
        <v>13.2</v>
      </c>
    </row>
    <row r="149" spans="1:3" x14ac:dyDescent="0.2">
      <c r="A149">
        <v>148</v>
      </c>
      <c r="B149">
        <v>243.2</v>
      </c>
      <c r="C149">
        <v>25.4</v>
      </c>
    </row>
    <row r="150" spans="1:3" x14ac:dyDescent="0.2">
      <c r="A150">
        <v>149</v>
      </c>
      <c r="B150">
        <v>38</v>
      </c>
      <c r="C150">
        <v>10.9</v>
      </c>
    </row>
    <row r="151" spans="1:3" x14ac:dyDescent="0.2">
      <c r="A151">
        <v>150</v>
      </c>
      <c r="B151">
        <v>44.7</v>
      </c>
      <c r="C151">
        <v>10.1</v>
      </c>
    </row>
    <row r="152" spans="1:3" x14ac:dyDescent="0.2">
      <c r="A152">
        <v>151</v>
      </c>
      <c r="B152">
        <v>280.7</v>
      </c>
      <c r="C152">
        <v>16.100000000000001</v>
      </c>
    </row>
    <row r="153" spans="1:3" x14ac:dyDescent="0.2">
      <c r="A153">
        <v>152</v>
      </c>
      <c r="B153">
        <v>121</v>
      </c>
      <c r="C153">
        <v>11.6</v>
      </c>
    </row>
    <row r="154" spans="1:3" x14ac:dyDescent="0.2">
      <c r="A154">
        <v>153</v>
      </c>
      <c r="B154">
        <v>197.6</v>
      </c>
      <c r="C154">
        <v>16.600000000000001</v>
      </c>
    </row>
    <row r="155" spans="1:3" x14ac:dyDescent="0.2">
      <c r="A155">
        <v>154</v>
      </c>
      <c r="B155">
        <v>171.3</v>
      </c>
      <c r="C155">
        <v>19</v>
      </c>
    </row>
    <row r="156" spans="1:3" x14ac:dyDescent="0.2">
      <c r="A156">
        <v>155</v>
      </c>
      <c r="B156">
        <v>187.8</v>
      </c>
      <c r="C156">
        <v>15.6</v>
      </c>
    </row>
    <row r="157" spans="1:3" x14ac:dyDescent="0.2">
      <c r="A157">
        <v>156</v>
      </c>
      <c r="B157">
        <v>4.0999999999999996</v>
      </c>
      <c r="C157">
        <v>3.2</v>
      </c>
    </row>
    <row r="158" spans="1:3" x14ac:dyDescent="0.2">
      <c r="A158">
        <v>157</v>
      </c>
      <c r="B158">
        <v>93.9</v>
      </c>
      <c r="C158">
        <v>15.3</v>
      </c>
    </row>
    <row r="159" spans="1:3" x14ac:dyDescent="0.2">
      <c r="A159">
        <v>158</v>
      </c>
      <c r="B159">
        <v>149.80000000000001</v>
      </c>
      <c r="C159">
        <v>10.1</v>
      </c>
    </row>
    <row r="160" spans="1:3" x14ac:dyDescent="0.2">
      <c r="A160">
        <v>159</v>
      </c>
      <c r="B160">
        <v>11.7</v>
      </c>
      <c r="C160">
        <v>7.3</v>
      </c>
    </row>
    <row r="161" spans="1:3" x14ac:dyDescent="0.2">
      <c r="A161">
        <v>160</v>
      </c>
      <c r="B161">
        <v>131.69999999999999</v>
      </c>
      <c r="C161">
        <v>12.9</v>
      </c>
    </row>
    <row r="162" spans="1:3" x14ac:dyDescent="0.2">
      <c r="A162">
        <v>161</v>
      </c>
      <c r="B162">
        <v>172.5</v>
      </c>
      <c r="C162">
        <v>14.4</v>
      </c>
    </row>
    <row r="163" spans="1:3" x14ac:dyDescent="0.2">
      <c r="A163">
        <v>162</v>
      </c>
      <c r="B163">
        <v>85.7</v>
      </c>
      <c r="C163">
        <v>13.3</v>
      </c>
    </row>
    <row r="164" spans="1:3" x14ac:dyDescent="0.2">
      <c r="A164">
        <v>163</v>
      </c>
      <c r="B164">
        <v>188.4</v>
      </c>
      <c r="C164">
        <v>14.9</v>
      </c>
    </row>
    <row r="165" spans="1:3" x14ac:dyDescent="0.2">
      <c r="A165">
        <v>164</v>
      </c>
      <c r="B165">
        <v>163.5</v>
      </c>
      <c r="C165">
        <v>18</v>
      </c>
    </row>
    <row r="166" spans="1:3" x14ac:dyDescent="0.2">
      <c r="A166">
        <v>165</v>
      </c>
      <c r="B166">
        <v>117.2</v>
      </c>
      <c r="C166">
        <v>11.9</v>
      </c>
    </row>
    <row r="167" spans="1:3" x14ac:dyDescent="0.2">
      <c r="A167">
        <v>166</v>
      </c>
      <c r="B167">
        <v>234.5</v>
      </c>
      <c r="C167">
        <v>11.9</v>
      </c>
    </row>
    <row r="168" spans="1:3" x14ac:dyDescent="0.2">
      <c r="A168">
        <v>167</v>
      </c>
      <c r="B168">
        <v>17.899999999999999</v>
      </c>
      <c r="C168">
        <v>8</v>
      </c>
    </row>
    <row r="169" spans="1:3" x14ac:dyDescent="0.2">
      <c r="A169">
        <v>168</v>
      </c>
      <c r="B169">
        <v>206.8</v>
      </c>
      <c r="C169">
        <v>12.2</v>
      </c>
    </row>
    <row r="170" spans="1:3" x14ac:dyDescent="0.2">
      <c r="A170">
        <v>169</v>
      </c>
      <c r="B170">
        <v>215.4</v>
      </c>
      <c r="C170">
        <v>17.100000000000001</v>
      </c>
    </row>
    <row r="171" spans="1:3" x14ac:dyDescent="0.2">
      <c r="A171">
        <v>170</v>
      </c>
      <c r="B171">
        <v>284.3</v>
      </c>
      <c r="C171">
        <v>15</v>
      </c>
    </row>
    <row r="172" spans="1:3" x14ac:dyDescent="0.2">
      <c r="A172">
        <v>171</v>
      </c>
      <c r="B172">
        <v>50</v>
      </c>
      <c r="C172">
        <v>8.4</v>
      </c>
    </row>
    <row r="173" spans="1:3" x14ac:dyDescent="0.2">
      <c r="A173">
        <v>172</v>
      </c>
      <c r="B173">
        <v>164.5</v>
      </c>
      <c r="C173">
        <v>14.5</v>
      </c>
    </row>
    <row r="174" spans="1:3" x14ac:dyDescent="0.2">
      <c r="A174">
        <v>173</v>
      </c>
      <c r="B174">
        <v>19.600000000000001</v>
      </c>
      <c r="C174">
        <v>7.6</v>
      </c>
    </row>
    <row r="175" spans="1:3" x14ac:dyDescent="0.2">
      <c r="A175">
        <v>174</v>
      </c>
      <c r="B175">
        <v>168.4</v>
      </c>
      <c r="C175">
        <v>11.7</v>
      </c>
    </row>
    <row r="176" spans="1:3" x14ac:dyDescent="0.2">
      <c r="A176">
        <v>175</v>
      </c>
      <c r="B176">
        <v>222.4</v>
      </c>
      <c r="C176">
        <v>11.5</v>
      </c>
    </row>
    <row r="177" spans="1:3" x14ac:dyDescent="0.2">
      <c r="A177">
        <v>176</v>
      </c>
      <c r="B177">
        <v>276.89999999999998</v>
      </c>
      <c r="C177">
        <v>27</v>
      </c>
    </row>
    <row r="178" spans="1:3" x14ac:dyDescent="0.2">
      <c r="A178">
        <v>177</v>
      </c>
      <c r="B178">
        <v>248.4</v>
      </c>
      <c r="C178">
        <v>20.2</v>
      </c>
    </row>
    <row r="179" spans="1:3" x14ac:dyDescent="0.2">
      <c r="A179">
        <v>178</v>
      </c>
      <c r="B179">
        <v>170.2</v>
      </c>
      <c r="C179">
        <v>11.7</v>
      </c>
    </row>
    <row r="180" spans="1:3" x14ac:dyDescent="0.2">
      <c r="A180">
        <v>179</v>
      </c>
      <c r="B180">
        <v>276.7</v>
      </c>
      <c r="C180">
        <v>11.8</v>
      </c>
    </row>
    <row r="181" spans="1:3" x14ac:dyDescent="0.2">
      <c r="A181">
        <v>180</v>
      </c>
      <c r="B181">
        <v>165.6</v>
      </c>
      <c r="C181">
        <v>12.6</v>
      </c>
    </row>
    <row r="182" spans="1:3" x14ac:dyDescent="0.2">
      <c r="A182">
        <v>181</v>
      </c>
      <c r="B182">
        <v>156.6</v>
      </c>
      <c r="C182">
        <v>10.5</v>
      </c>
    </row>
    <row r="183" spans="1:3" x14ac:dyDescent="0.2">
      <c r="A183">
        <v>182</v>
      </c>
      <c r="B183">
        <v>218.5</v>
      </c>
      <c r="C183">
        <v>12.2</v>
      </c>
    </row>
    <row r="184" spans="1:3" x14ac:dyDescent="0.2">
      <c r="A184">
        <v>183</v>
      </c>
      <c r="B184">
        <v>56.2</v>
      </c>
      <c r="C184">
        <v>8.6999999999999993</v>
      </c>
    </row>
    <row r="185" spans="1:3" x14ac:dyDescent="0.2">
      <c r="A185">
        <v>184</v>
      </c>
      <c r="B185">
        <v>287.60000000000002</v>
      </c>
      <c r="C185">
        <v>26.2</v>
      </c>
    </row>
    <row r="186" spans="1:3" x14ac:dyDescent="0.2">
      <c r="A186">
        <v>185</v>
      </c>
      <c r="B186">
        <v>253.8</v>
      </c>
      <c r="C186">
        <v>17.600000000000001</v>
      </c>
    </row>
    <row r="187" spans="1:3" x14ac:dyDescent="0.2">
      <c r="A187">
        <v>186</v>
      </c>
      <c r="B187">
        <v>205</v>
      </c>
      <c r="C187">
        <v>22.6</v>
      </c>
    </row>
    <row r="188" spans="1:3" x14ac:dyDescent="0.2">
      <c r="A188">
        <v>187</v>
      </c>
      <c r="B188">
        <v>139.5</v>
      </c>
      <c r="C188">
        <v>10.3</v>
      </c>
    </row>
    <row r="189" spans="1:3" x14ac:dyDescent="0.2">
      <c r="A189">
        <v>188</v>
      </c>
      <c r="B189">
        <v>191.1</v>
      </c>
      <c r="C189">
        <v>17.3</v>
      </c>
    </row>
    <row r="190" spans="1:3" x14ac:dyDescent="0.2">
      <c r="A190">
        <v>189</v>
      </c>
      <c r="B190">
        <v>286</v>
      </c>
      <c r="C190">
        <v>15.9</v>
      </c>
    </row>
    <row r="191" spans="1:3" x14ac:dyDescent="0.2">
      <c r="A191">
        <v>190</v>
      </c>
      <c r="B191">
        <v>18.7</v>
      </c>
      <c r="C191">
        <v>6.7</v>
      </c>
    </row>
    <row r="192" spans="1:3" x14ac:dyDescent="0.2">
      <c r="A192">
        <v>191</v>
      </c>
      <c r="B192">
        <v>39.5</v>
      </c>
      <c r="C192">
        <v>10.8</v>
      </c>
    </row>
    <row r="193" spans="1:3" x14ac:dyDescent="0.2">
      <c r="A193">
        <v>192</v>
      </c>
      <c r="B193">
        <v>75.5</v>
      </c>
      <c r="C193">
        <v>9.9</v>
      </c>
    </row>
    <row r="194" spans="1:3" x14ac:dyDescent="0.2">
      <c r="A194">
        <v>193</v>
      </c>
      <c r="B194">
        <v>17.2</v>
      </c>
      <c r="C194">
        <v>5.9</v>
      </c>
    </row>
    <row r="195" spans="1:3" x14ac:dyDescent="0.2">
      <c r="A195">
        <v>194</v>
      </c>
      <c r="B195">
        <v>166.8</v>
      </c>
      <c r="C195">
        <v>19.600000000000001</v>
      </c>
    </row>
    <row r="196" spans="1:3" x14ac:dyDescent="0.2">
      <c r="A196">
        <v>195</v>
      </c>
      <c r="B196">
        <v>149.69999999999999</v>
      </c>
      <c r="C196">
        <v>17.3</v>
      </c>
    </row>
    <row r="197" spans="1:3" x14ac:dyDescent="0.2">
      <c r="A197">
        <v>196</v>
      </c>
      <c r="B197">
        <v>38.200000000000003</v>
      </c>
      <c r="C197">
        <v>7.6</v>
      </c>
    </row>
    <row r="198" spans="1:3" x14ac:dyDescent="0.2">
      <c r="A198">
        <v>197</v>
      </c>
      <c r="B198">
        <v>94.2</v>
      </c>
      <c r="C198">
        <v>9.6999999999999993</v>
      </c>
    </row>
    <row r="199" spans="1:3" x14ac:dyDescent="0.2">
      <c r="A199">
        <v>198</v>
      </c>
      <c r="B199">
        <v>177</v>
      </c>
      <c r="C199">
        <v>12.8</v>
      </c>
    </row>
    <row r="200" spans="1:3" x14ac:dyDescent="0.2">
      <c r="A200">
        <v>199</v>
      </c>
      <c r="B200">
        <v>283.60000000000002</v>
      </c>
      <c r="C200">
        <v>25.5</v>
      </c>
    </row>
    <row r="201" spans="1:3" x14ac:dyDescent="0.2">
      <c r="A201">
        <v>200</v>
      </c>
      <c r="B201">
        <v>232.1</v>
      </c>
      <c r="C201">
        <v>13.4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 Budget and Sales.cs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Dyal</cp:lastModifiedBy>
  <dcterms:created xsi:type="dcterms:W3CDTF">2025-12-06T01:43:39Z</dcterms:created>
  <dcterms:modified xsi:type="dcterms:W3CDTF">2025-12-06T01:44:40Z</dcterms:modified>
</cp:coreProperties>
</file>